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hases" sheetId="2" state="visible" r:id="rId2"/>
    <sheet xmlns:r="http://schemas.openxmlformats.org/officeDocument/2006/relationships" name="Budget" sheetId="3" state="visible" r:id="rId3"/>
    <sheet xmlns:r="http://schemas.openxmlformats.org/officeDocument/2006/relationships" name="Bands"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quot;$&quot;#,##0"/>
  </numFmts>
  <fonts count="4">
    <font>
      <name val="Calibri"/>
      <family val="2"/>
      <color theme="1"/>
      <sz val="11"/>
      <scheme val="minor"/>
    </font>
    <font>
      <b val="1"/>
    </font>
    <font>
      <b val="1"/>
      <color rgb="00FFFFFF"/>
    </font>
    <font/>
  </fonts>
  <fills count="6">
    <fill>
      <patternFill/>
    </fill>
    <fill>
      <patternFill patternType="gray125"/>
    </fill>
    <fill>
      <patternFill patternType="solid">
        <fgColor rgb="001E2A27"/>
      </patternFill>
    </fill>
    <fill>
      <patternFill patternType="solid">
        <fgColor rgb="00EEF2F0"/>
      </patternFill>
    </fill>
    <fill>
      <patternFill patternType="solid">
        <fgColor rgb="00DCE9F7"/>
      </patternFill>
    </fill>
    <fill>
      <patternFill patternType="solid">
        <fgColor rgb="00FFF1CC"/>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2" borderId="0" applyAlignment="1" pivotButton="0" quotePrefix="0" xfId="0">
      <alignment vertical="top" wrapText="1"/>
    </xf>
    <xf numFmtId="164" fontId="0" fillId="3" borderId="0" pivotButton="0" quotePrefix="0" xfId="0"/>
    <xf numFmtId="0" fontId="0" fillId="4" borderId="0" pivotButton="0" quotePrefix="0" xfId="0"/>
    <xf numFmtId="164" fontId="0" fillId="4" borderId="0" pivotButton="0" quotePrefix="0" xfId="0"/>
    <xf numFmtId="0" fontId="0" fillId="0" borderId="0" applyAlignment="1" pivotButton="0" quotePrefix="0" xfId="0">
      <alignment vertical="top" wrapText="1"/>
    </xf>
    <xf numFmtId="0" fontId="1" fillId="0" borderId="0" pivotButton="0" quotePrefix="0" xfId="0"/>
    <xf numFmtId="164" fontId="1" fillId="0" borderId="0" pivotButton="0" quotePrefix="0" xfId="0"/>
    <xf numFmtId="0" fontId="2" fillId="2" borderId="0" pivotButton="0" quotePrefix="0" xfId="0"/>
    <xf numFmtId="0" fontId="3" fillId="0" borderId="0" pivotButton="0" quotePrefix="0" xfId="0"/>
    <xf numFmtId="165" fontId="0" fillId="4" borderId="0" pivotButton="0" quotePrefix="0" xfId="0"/>
    <xf numFmtId="165" fontId="0" fillId="0" borderId="0" pivotButton="0" quotePrefix="0" xfId="0"/>
    <xf numFmtId="164" fontId="0" fillId="0" borderId="0" pivotButton="0" quotePrefix="0" xfId="0"/>
    <xf numFmtId="165" fontId="0" fillId="5" borderId="0" pivotButton="0" quotePrefix="0" xfId="0"/>
    <xf numFmtId="165" fontId="0" fillId="3" borderId="0" pivotButton="0" quotePrefix="0" xfId="0"/>
    <xf numFmtId="165" fontId="1" fillId="0" borderId="0" pivotButton="0" quotePrefix="0" xfId="0"/>
    <xf numFmtId="49"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2" customWidth="1" min="1" max="1"/>
  </cols>
  <sheetData>
    <row r="1">
      <c r="A1" s="1" t="inlineStr">
        <is>
          <t>Groundwork — per-market budget model</t>
        </is>
      </c>
    </row>
    <row r="2">
      <c r="A2" s="2" t="inlineStr">
        <is>
          <t>Built 9 September 2026 by _bench/build_market_budget_model.py. Shareable with a partner; can be walked through with a client.</t>
        </is>
      </c>
    </row>
    <row r="3">
      <c r="A3" s="2" t="inlineStr"/>
    </row>
    <row r="4">
      <c r="A4" s="2" t="inlineStr">
        <is>
          <t>What it is: one market of the Groundwork method, costed at the level of the process rather than the calendar. Ten phases in four moves, each with the effort it carries and the cost lines it opens. The effort per phase is the average of the three pilot markets, derived from the practice's time record by workstream; no individual day or meeting appears anywhere.</t>
        </is>
      </c>
    </row>
    <row r="5">
      <c r="A5" s="2" t="inlineStr"/>
    </row>
    <row r="6">
      <c r="A6" s="2" t="inlineStr">
        <is>
          <t>How to read it: the Phases sheet is the shape of one market and is the sheet to walk a client through. The Budget sheet turns it into a price: the practice's fixed fee and retainer share (sized off the benchmarked model), the certified researchers, the field days, and the third-party lines by kind. Amber cells are inputs Juno enters per market. Blue cells are assumptions with the pilot's value prefilled.</t>
        </is>
      </c>
    </row>
    <row r="7">
      <c r="A7" s="2" t="inlineStr"/>
    </row>
    <row r="8">
      <c r="A8" s="2" t="inlineStr">
        <is>
          <t>What is not here: any hourly rate, any figure for a third party, and any market's individual record. The pilot's markets are averaged, not named. The practice's private P&amp;L holds the rate and the per-market actuals and is not this document.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22" customWidth="1" min="3" max="3"/>
    <col width="12" customWidth="1" min="4" max="4"/>
    <col width="16" customWidth="1" min="5" max="5"/>
    <col width="14" customWidth="1" min="6" max="6"/>
    <col width="10" customWidth="1" min="7" max="7"/>
    <col width="52" customWidth="1" min="8" max="8"/>
    <col width="52" customWidth="1" min="9" max="9"/>
  </cols>
  <sheetData>
    <row r="1">
      <c r="A1" s="3" t="inlineStr">
        <is>
          <t>Move</t>
        </is>
      </c>
      <c r="B1" s="3" t="inlineStr">
        <is>
          <t>Phase</t>
        </is>
      </c>
      <c r="C1" s="3" t="inlineStr">
        <is>
          <t>Owner</t>
        </is>
      </c>
      <c r="D1" s="3" t="inlineStr">
        <is>
          <t>Effort kind</t>
        </is>
      </c>
      <c r="E1" s="3" t="inlineStr">
        <is>
          <t>Practice days per market (pilot average)</t>
        </is>
      </c>
      <c r="F1" s="3" t="inlineStr">
        <is>
          <t>Researcher days (assumption)</t>
        </is>
      </c>
      <c r="G1" s="3" t="inlineStr">
        <is>
          <t>Field days</t>
        </is>
      </c>
      <c r="H1" s="3" t="inlineStr">
        <is>
          <t>What the phase produces</t>
        </is>
      </c>
      <c r="I1" s="3" t="inlineStr">
        <is>
          <t>It is finished when</t>
        </is>
      </c>
    </row>
    <row r="2">
      <c r="A2" t="inlineStr">
        <is>
          <t>Audit and gap-find</t>
        </is>
      </c>
      <c r="B2" t="inlineStr">
        <is>
          <t>Phase 0 · Spin-up</t>
        </is>
      </c>
      <c r="C2" t="inlineStr">
        <is>
          <t>Project manager</t>
        </is>
      </c>
      <c r="D2" t="inlineStr">
        <is>
          <t>programme</t>
        </is>
      </c>
      <c r="E2" s="4" t="n">
        <v>2.6</v>
      </c>
      <c r="F2" s="5" t="n">
        <v>0</v>
      </c>
      <c r="G2" s="6" t="n">
        <v>0</v>
      </c>
      <c r="H2" s="7" t="inlineStr">
        <is>
          <t>A dated calendar with sourced walls; a market folder; a citation prefix</t>
        </is>
      </c>
      <c r="I2" s="7" t="inlineStr">
        <is>
          <t>every date names its source</t>
        </is>
      </c>
    </row>
    <row r="3">
      <c r="A3" t="inlineStr">
        <is>
          <t>Audit and gap-find</t>
        </is>
      </c>
      <c r="B3" t="inlineStr">
        <is>
          <t>Phase 1 · Audit and gap-find</t>
        </is>
      </c>
      <c r="C3" t="inlineStr">
        <is>
          <t>Research lead</t>
        </is>
      </c>
      <c r="D3" t="inlineStr">
        <is>
          <t>desk</t>
        </is>
      </c>
      <c r="E3" s="4" t="n">
        <v>2.3</v>
      </c>
      <c r="F3" s="5" t="n">
        <v>4</v>
      </c>
      <c r="G3" s="6" t="n">
        <v>0</v>
      </c>
      <c r="H3" s="7" t="inlineStr">
        <is>
          <t>The market's rows in the Claims Register, each with a source</t>
        </is>
      </c>
      <c r="I3" s="7" t="inlineStr">
        <is>
          <t>every register row names a source</t>
        </is>
      </c>
    </row>
    <row r="4">
      <c r="A4" t="inlineStr">
        <is>
          <t>Baseline the before-picture</t>
        </is>
      </c>
      <c r="B4" t="inlineStr">
        <is>
          <t>Phase 2 · Baseline the before-picture</t>
        </is>
      </c>
      <c r="C4" t="inlineStr">
        <is>
          <t>Research lead</t>
        </is>
      </c>
      <c r="D4" t="inlineStr">
        <is>
          <t>desk</t>
        </is>
      </c>
      <c r="E4" s="4" t="n">
        <v>0</v>
      </c>
      <c r="F4" s="5" t="n">
        <v>3</v>
      </c>
      <c r="G4" s="6" t="n">
        <v>0</v>
      </c>
      <c r="H4" s="7" t="inlineStr">
        <is>
          <t>The before-picture on two instruments: material delta and belief delta</t>
        </is>
      </c>
      <c r="I4" s="7" t="inlineStr">
        <is>
          <t>both deltas sit on the same instrument as every other market</t>
        </is>
      </c>
    </row>
    <row r="5">
      <c r="A5" t="inlineStr">
        <is>
          <t>Discover on the ground</t>
        </is>
      </c>
      <c r="B5" t="inlineStr">
        <is>
          <t>Phase 3 · Champion mapping and outreach</t>
        </is>
      </c>
      <c r="C5" t="inlineStr">
        <is>
          <t>Project manager, with the research lead on who matters</t>
        </is>
      </c>
      <c r="D5" t="inlineStr">
        <is>
          <t>desk</t>
        </is>
      </c>
      <c r="E5" s="4" t="n">
        <v>0</v>
      </c>
      <c r="F5" s="5" t="n">
        <v>3</v>
      </c>
      <c r="G5" s="6" t="n">
        <v>0</v>
      </c>
      <c r="H5" s="7" t="inlineStr">
        <is>
          <t>The champion map: tiers, consent, contact paths</t>
        </is>
      </c>
      <c r="I5" s="7" t="inlineStr">
        <is>
          <t>every mapped voice carries a tier, consent and a contact path</t>
        </is>
      </c>
    </row>
    <row r="6">
      <c r="A6" t="inlineStr">
        <is>
          <t>Discover on the ground</t>
        </is>
      </c>
      <c r="B6" t="inlineStr">
        <is>
          <t>Phase 4 · Discovery visit</t>
        </is>
      </c>
      <c r="C6" t="inlineStr">
        <is>
          <t>Research lead on the ground</t>
        </is>
      </c>
      <c r="D6" t="inlineStr">
        <is>
          <t>field</t>
        </is>
      </c>
      <c r="E6" s="4" t="n">
        <v>5.7</v>
      </c>
      <c r="F6" s="5" t="n">
        <v>6</v>
      </c>
      <c r="G6" s="6" t="n">
        <v>1.3</v>
      </c>
      <c r="H6" s="7" t="inlineStr">
        <is>
          <t>Recorded conversations, each tape named for market, room size and language</t>
        </is>
      </c>
      <c r="I6" s="7" t="inlineStr">
        <is>
          <t>every tape is named and its speakers confirmed by someone who was there</t>
        </is>
      </c>
    </row>
    <row r="7">
      <c r="A7" t="inlineStr">
        <is>
          <t>Discover on the ground</t>
        </is>
      </c>
      <c r="B7" t="inlineStr">
        <is>
          <t>Phase 5 · Production visit</t>
        </is>
      </c>
      <c r="C7" t="inlineStr">
        <is>
          <t>Producer (production partner), with the director running the room</t>
        </is>
      </c>
      <c r="D7" t="inlineStr">
        <is>
          <t>field</t>
        </is>
      </c>
      <c r="E7" s="4" t="n">
        <v>0.5</v>
      </c>
      <c r="F7" s="5" t="n">
        <v>0</v>
      </c>
      <c r="G7" s="6" t="n">
        <v>1.3</v>
      </c>
      <c r="H7" s="7" t="inlineStr">
        <is>
          <t>Film and photography per the deliverable set; releases on file</t>
        </is>
      </c>
      <c r="I7" s="7" t="inlineStr">
        <is>
          <t>releases on file for everyone filmed; the shot list traces to the champion map</t>
        </is>
      </c>
    </row>
    <row r="8">
      <c r="A8" t="inlineStr">
        <is>
          <t>Discover on the ground</t>
        </is>
      </c>
      <c r="B8" t="inlineStr">
        <is>
          <t>Phase 6 · Capture to transcript to intel-delta</t>
        </is>
      </c>
      <c r="C8" t="inlineStr">
        <is>
          <t>Research lead</t>
        </is>
      </c>
      <c r="D8" t="inlineStr">
        <is>
          <t>processing</t>
        </is>
      </c>
      <c r="E8" s="4" t="n">
        <v>0</v>
      </c>
      <c r="F8" s="5" t="n">
        <v>4</v>
      </c>
      <c r="G8" s="6" t="n">
        <v>0</v>
      </c>
      <c r="H8" s="7" t="inlineStr">
        <is>
          <t>Transcripts with speakers named and checked; every claim registered; an intel delta per conversation</t>
        </is>
      </c>
      <c r="I8" s="7" t="inlineStr">
        <is>
          <t>every quotable line traces to a tape; every figure to a register row</t>
        </is>
      </c>
    </row>
    <row r="9">
      <c r="A9" t="inlineStr">
        <is>
          <t>Synthesize</t>
        </is>
      </c>
      <c r="B9" t="inlineStr">
        <is>
          <t>Phase 7 · Synthesis</t>
        </is>
      </c>
      <c r="C9" t="inlineStr">
        <is>
          <t>Research lead, with editorial and design</t>
        </is>
      </c>
      <c r="D9" t="inlineStr">
        <is>
          <t>desk</t>
        </is>
      </c>
      <c r="E9" s="4" t="n">
        <v>7.6</v>
      </c>
      <c r="F9" s="5" t="n">
        <v>3</v>
      </c>
      <c r="G9" s="6" t="n">
        <v>0</v>
      </c>
      <c r="H9" s="7" t="inlineStr">
        <is>
          <t>The Market Impact Assessment, story spines, champion profiles, evidence and sources</t>
        </is>
      </c>
      <c r="I9" s="7" t="inlineStr">
        <is>
          <t>the report cites the register and the checks pass</t>
        </is>
      </c>
    </row>
    <row r="10">
      <c r="A10" t="inlineStr">
        <is>
          <t>Synthesize</t>
        </is>
      </c>
      <c r="B10" t="inlineStr">
        <is>
          <t>Phase 8 · The review ramp</t>
        </is>
      </c>
      <c r="C10" t="inlineStr">
        <is>
          <t>Project manager</t>
        </is>
      </c>
      <c r="D10" t="inlineStr">
        <is>
          <t>review</t>
        </is>
      </c>
      <c r="E10" s="4" t="n">
        <v>0.5</v>
      </c>
      <c r="F10" s="5" t="n">
        <v>1</v>
      </c>
      <c r="G10" s="6" t="n">
        <v>0</v>
      </c>
      <c r="H10" s="7" t="inlineStr">
        <is>
          <t>The team's read, then the client's preview, then the wall</t>
        </is>
      </c>
      <c r="I10" s="7" t="inlineStr">
        <is>
          <t>the team's read precedes the client's; every send cleared the checks</t>
        </is>
      </c>
    </row>
    <row r="11">
      <c r="A11" t="inlineStr">
        <is>
          <t>Synthesize</t>
        </is>
      </c>
      <c r="B11" t="inlineStr">
        <is>
          <t>Phase 9 · Close-out and codify</t>
        </is>
      </c>
      <c r="C11" t="inlineStr">
        <is>
          <t>Research lead</t>
        </is>
      </c>
      <c r="D11" t="inlineStr">
        <is>
          <t>desk</t>
        </is>
      </c>
      <c r="E11" s="4" t="n">
        <v>1.2</v>
      </c>
      <c r="F11" s="5" t="n">
        <v>1</v>
      </c>
      <c r="G11" s="6" t="n">
        <v>0</v>
      </c>
      <c r="H11" s="7" t="inlineStr">
        <is>
          <t>The learnings log entries, classed; the next market's kit updated</t>
        </is>
      </c>
      <c r="I11" s="7" t="inlineStr">
        <is>
          <t>at least one classed learning per market</t>
        </is>
      </c>
    </row>
    <row r="12">
      <c r="B12" s="8" t="inlineStr">
        <is>
          <t>One market, all phases</t>
        </is>
      </c>
      <c r="E12" s="9">
        <f>SUM(E2:E11)</f>
        <v/>
      </c>
      <c r="F12" s="9">
        <f>SUM(F2:F11)</f>
        <v/>
      </c>
      <c r="G12" s="9">
        <f>SUM(G2:G11)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46" customWidth="1" min="1" max="1"/>
    <col width="18" customWidth="1" min="2" max="2"/>
    <col width="14" customWidth="1" min="3" max="3"/>
    <col width="70" customWidth="1" min="4" max="4"/>
  </cols>
  <sheetData>
    <row r="1">
      <c r="A1" s="10" t="inlineStr">
        <is>
          <t>Line</t>
        </is>
      </c>
      <c r="B1" s="10" t="inlineStr">
        <is>
          <t>Per market</t>
        </is>
      </c>
      <c r="C1" s="10" t="inlineStr">
        <is>
          <t>Kind</t>
        </is>
      </c>
      <c r="D1" s="10" t="inlineStr">
        <is>
          <t>How it is sized</t>
        </is>
      </c>
    </row>
    <row r="2">
      <c r="A2" s="8" t="inlineStr">
        <is>
          <t>THE METHOD</t>
        </is>
      </c>
    </row>
    <row r="3">
      <c r="A3" s="11" t="inlineStr">
        <is>
          <t>Per-market platform fee (the method, stood up in this market)</t>
        </is>
      </c>
      <c r="B3" s="12">
        <f>AVERAGE(12000.0,20000.0)</f>
        <v/>
      </c>
      <c r="C3" t="inlineStr">
        <is>
          <t>assume</t>
        </is>
      </c>
      <c r="D3" s="2" t="inlineStr">
        <is>
          <t>Benchmark band midpoint from the practice's pricing model; the band itself is on the Bands sheet</t>
        </is>
      </c>
    </row>
    <row r="4">
      <c r="A4" s="11" t="inlineStr">
        <is>
          <t>Standards and quality retainer, this market's share</t>
        </is>
      </c>
      <c r="B4" s="12">
        <f>AVERAGE(10000.0,15000.0)*3/3</f>
        <v/>
      </c>
      <c r="C4" t="inlineStr">
        <is>
          <t>assume</t>
        </is>
      </c>
      <c r="D4" s="2" t="inlineStr">
        <is>
          <t>Programme retainer midpoint × months a market runs ÷ markets sharing it (three and three prefilled)</t>
        </is>
      </c>
    </row>
    <row r="5">
      <c r="A5" s="11" t="inlineStr">
        <is>
          <t>Annual re-score (from year two)</t>
        </is>
      </c>
      <c r="B5" s="13">
        <f>0.4*B3</f>
        <v/>
      </c>
      <c r="C5" t="inlineStr"/>
      <c r="D5" s="2" t="inlineStr">
        <is>
          <t>Forty percent of the platform fee, per the pricing model; not in year one</t>
        </is>
      </c>
    </row>
    <row r="6">
      <c r="A6" s="8" t="inlineStr">
        <is>
          <t>THE PEOPLE</t>
        </is>
      </c>
    </row>
    <row r="7">
      <c r="A7" s="11" t="inlineStr">
        <is>
          <t>Certified-researcher days</t>
        </is>
      </c>
      <c r="B7" s="14">
        <f>Phases!F12</f>
        <v/>
      </c>
      <c r="C7" t="inlineStr"/>
      <c r="D7" s="2" t="inlineStr">
        <is>
          <t>Sum of the Phases sheet</t>
        </is>
      </c>
    </row>
    <row r="8">
      <c r="A8" s="11" t="inlineStr">
        <is>
          <t>Certified-researcher day cost</t>
        </is>
      </c>
      <c r="B8" s="15" t="inlineStr">
        <is>
          <t>INPUT</t>
        </is>
      </c>
      <c r="C8" t="inlineStr">
        <is>
          <t>INPUT</t>
        </is>
      </c>
      <c r="D8" s="2" t="inlineStr">
        <is>
          <t>What Juno pays a certified researcher per day</t>
        </is>
      </c>
    </row>
    <row r="9">
      <c r="A9" s="11" t="inlineStr">
        <is>
          <t>Certified researchers, this market</t>
        </is>
      </c>
      <c r="B9" s="13">
        <f>IF(ISTEXT(B8),"INPUT",B7*B8)</f>
        <v/>
      </c>
      <c r="C9" t="inlineStr"/>
      <c r="D9" s="2" t="inlineStr">
        <is>
          <t>days × day cost</t>
        </is>
      </c>
    </row>
    <row r="10">
      <c r="A10" s="11" t="inlineStr">
        <is>
          <t>Practice field days (deep-dive presence)</t>
        </is>
      </c>
      <c r="B10" s="14">
        <f>Phases!G12</f>
        <v/>
      </c>
      <c r="C10" t="inlineStr"/>
      <c r="D10" s="2" t="inlineStr">
        <is>
          <t>Sum of the Phases sheet</t>
        </is>
      </c>
    </row>
    <row r="11">
      <c r="A11" s="11" t="inlineStr">
        <is>
          <t>Practice field days at the flat day rate</t>
        </is>
      </c>
      <c r="B11" s="16">
        <f>B10*1000.0</f>
        <v/>
      </c>
      <c r="C11" t="inlineStr">
        <is>
          <t>read</t>
        </is>
      </c>
      <c r="D11" s="2" t="inlineStr">
        <is>
          <t>Flat travel-day rate from the practice's pricing model</t>
        </is>
      </c>
    </row>
    <row r="12">
      <c r="A12" s="8" t="inlineStr">
        <is>
          <t>THIRD PARTIES, BY KIND</t>
        </is>
      </c>
    </row>
    <row r="13">
      <c r="A13" s="11" t="inlineStr">
        <is>
          <t>Local research partner</t>
        </is>
      </c>
      <c r="B13" s="15" t="inlineStr">
        <is>
          <t>INPUT</t>
        </is>
      </c>
      <c r="C13" t="inlineStr">
        <is>
          <t>INPUT</t>
        </is>
      </c>
      <c r="D13" s="2" t="inlineStr">
        <is>
          <t>where the market needs local credibility or a language</t>
        </is>
      </c>
    </row>
    <row r="14">
      <c r="A14" s="11" t="inlineStr">
        <is>
          <t>Interpretation and translation</t>
        </is>
      </c>
      <c r="B14" s="15" t="inlineStr">
        <is>
          <t>INPUT</t>
        </is>
      </c>
      <c r="C14" t="inlineStr">
        <is>
          <t>INPUT</t>
        </is>
      </c>
      <c r="D14" s="2" t="inlineStr">
        <is>
          <t>where interviews are not in English</t>
        </is>
      </c>
    </row>
    <row r="15">
      <c r="A15" s="11" t="inlineStr">
        <is>
          <t>Local producer</t>
        </is>
      </c>
      <c r="B15" s="15" t="inlineStr">
        <is>
          <t>INPUT</t>
        </is>
      </c>
      <c r="C15" t="inlineStr">
        <is>
          <t>INPUT</t>
        </is>
      </c>
      <c r="D15" s="2" t="inlineStr">
        <is>
          <t>production logistics in market</t>
        </is>
      </c>
    </row>
    <row r="16">
      <c r="A16" s="11" t="inlineStr">
        <is>
          <t>Production partner (film and photography)</t>
        </is>
      </c>
      <c r="B16" s="15" t="inlineStr">
        <is>
          <t>INPUT</t>
        </is>
      </c>
      <c r="C16" t="inlineStr">
        <is>
          <t>INPUT</t>
        </is>
      </c>
      <c r="D16" s="2" t="inlineStr">
        <is>
          <t>per market, per the deliverable set</t>
        </is>
      </c>
    </row>
    <row r="17">
      <c r="A17" s="11" t="inlineStr">
        <is>
          <t>Casting and releases</t>
        </is>
      </c>
      <c r="B17" s="15" t="inlineStr">
        <is>
          <t>INPUT</t>
        </is>
      </c>
      <c r="C17" t="inlineStr">
        <is>
          <t>INPUT</t>
        </is>
      </c>
      <c r="D17" s="2" t="inlineStr">
        <is>
          <t>subjects, releases, minors' consent</t>
        </is>
      </c>
    </row>
    <row r="18">
      <c r="A18" s="11" t="inlineStr">
        <is>
          <t>Travel and lodging, team</t>
        </is>
      </c>
      <c r="B18" s="15" t="inlineStr">
        <is>
          <t>INPUT</t>
        </is>
      </c>
      <c r="C18" t="inlineStr">
        <is>
          <t>INPUT</t>
        </is>
      </c>
      <c r="D18" s="2" t="inlineStr">
        <is>
          <t>at cost, outside any fixed fee</t>
        </is>
      </c>
    </row>
    <row r="19">
      <c r="A19" s="8" t="inlineStr">
        <is>
          <t>Third parties, this market</t>
        </is>
      </c>
      <c r="B19" s="17">
        <f>IF(OR(ISTEXT(B13),ISTEXT(B14),ISTEXT(B15),ISTEXT(B16),ISTEXT(B17),ISTEXT(B18)),"INPUT",SUM(B13,B14,B15,B16,B17,B18))</f>
        <v/>
      </c>
      <c r="C19" t="inlineStr"/>
      <c r="D19" s="2" t="inlineStr">
        <is>
          <t>reads INPUT until every line is a number</t>
        </is>
      </c>
    </row>
    <row r="20">
      <c r="A20" s="8" t="inlineStr">
        <is>
          <t>THE MARKET</t>
        </is>
      </c>
    </row>
    <row r="21">
      <c r="A21" s="8" t="inlineStr">
        <is>
          <t>Method + people + field</t>
        </is>
      </c>
      <c r="B21" s="17">
        <f>B3+B4+IF(ISTEXT(B9),0,B9)+B11</f>
        <v/>
      </c>
      <c r="C21" t="inlineStr"/>
      <c r="D21" s="2" t="inlineStr">
        <is>
          <t>before third parties and contingency</t>
        </is>
      </c>
    </row>
    <row r="22">
      <c r="A22" s="11" t="inlineStr">
        <is>
          <t>Contingency reserve</t>
        </is>
      </c>
      <c r="B22" s="12">
        <f>0.125*B21</f>
        <v/>
      </c>
      <c r="C22" t="inlineStr">
        <is>
          <t>assume</t>
        </is>
      </c>
      <c r="D22" s="2" t="inlineStr">
        <is>
          <t>Ten to fifteen percent of the engagement per the pricing model; twelve and a half prefilled</t>
        </is>
      </c>
    </row>
    <row r="23">
      <c r="A23" s="8" t="inlineStr">
        <is>
          <t>One market, all-in (excluding third parties until entered)</t>
        </is>
      </c>
      <c r="B23" s="17">
        <f>B21+B22+IF(ISTEXT(B19),0,B19)</f>
        <v/>
      </c>
      <c r="C23" t="inlineStr"/>
      <c r="D23" s="2" t="inlineStr"/>
    </row>
    <row r="24">
      <c r="A24" s="8" t="inlineStr">
        <is>
          <t>Status</t>
        </is>
      </c>
      <c r="B24" s="18">
        <f>IF(COUNTIF(B:B,"INPUT")&gt;0,"INCOMPLETE: "&amp;COUNTIF(B:B,"INPUT")&amp;" inputs to enter","complete")</f>
        <v/>
      </c>
      <c r="C24" t="inlineStr"/>
      <c r="D2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60" customWidth="1" min="4" max="4"/>
  </cols>
  <sheetData>
    <row r="1">
      <c r="A1" s="10" t="inlineStr">
        <is>
          <t>Component</t>
        </is>
      </c>
      <c r="B1" s="10" t="inlineStr">
        <is>
          <t>Low</t>
        </is>
      </c>
      <c r="C1" s="10" t="inlineStr">
        <is>
          <t>High</t>
        </is>
      </c>
      <c r="D1" s="10" t="inlineStr">
        <is>
          <t>Anchored to</t>
        </is>
      </c>
    </row>
    <row r="2">
      <c r="A2" t="inlineStr">
        <is>
          <t>Per-market platform fee</t>
        </is>
      </c>
      <c r="B2" s="13" t="n">
        <v>12000</v>
      </c>
      <c r="C2" s="13" t="n">
        <v>20000</v>
      </c>
      <c r="D2" t="inlineStr">
        <is>
          <t>brand-tracker-per-market norm plus a methodology royalty on a market budget</t>
        </is>
      </c>
    </row>
    <row r="3">
      <c r="A3" t="inlineStr">
        <is>
          <t>Standards and quality retainer, per month</t>
        </is>
      </c>
      <c r="B3" s="13" t="n">
        <v>10000</v>
      </c>
      <c r="C3" s="13" t="n">
        <v>15000</v>
      </c>
      <c r="D3" t="inlineStr">
        <is>
          <t>fractional-director band</t>
        </is>
      </c>
    </row>
    <row r="4">
      <c r="A4" t="inlineStr">
        <is>
          <t>Certification, per seat</t>
        </is>
      </c>
      <c r="B4" s="13" t="n">
        <v>2000</v>
      </c>
      <c r="C4" s="13" t="n">
        <v>3500</v>
      </c>
      <c r="D4" t="inlineStr">
        <is>
          <t>professional-certification norms</t>
        </is>
      </c>
    </row>
    <row r="5">
      <c r="A5" t="inlineStr">
        <is>
          <t>Annual re-score</t>
        </is>
      </c>
      <c r="B5" s="13" t="inlineStr">
        <is>
          <t>40% of platform fee</t>
        </is>
      </c>
      <c r="C5" s="13" t="inlineStr"/>
      <c r="D5" t="inlineStr">
        <is>
          <t>mirrors the EcoVadis reassessment convention</t>
        </is>
      </c>
    </row>
    <row r="6">
      <c r="A6" t="inlineStr">
        <is>
          <t>Contingency reserve</t>
        </is>
      </c>
      <c r="B6" s="13" t="inlineStr">
        <is>
          <t>10%</t>
        </is>
      </c>
      <c r="C6" s="13" t="inlineStr">
        <is>
          <t>15%</t>
        </is>
      </c>
      <c r="D6" t="inlineStr">
        <is>
          <t>line item in every statement of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2026-09-09T19:58:46Z</dcterms:created>
  <dcterms:modified xmlns:dcterms="http://purl.org/dc/terms/" xmlns:xsi="http://www.w3.org/2001/XMLSchema-instance" xsi:type="dcterms:W3CDTF">2026-09-09T19:58:46Z</dcterms:modified>
</cp:coreProperties>
</file>